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mw/Documents/VBUS/LEMSv3/Codes/LICOR_Calibration/"/>
    </mc:Choice>
  </mc:AlternateContent>
  <xr:revisionPtr revIDLastSave="0" documentId="13_ncr:1_{19552F93-BF6A-D148-BA7E-A5585B2C00FB}" xr6:coauthVersionLast="47" xr6:coauthVersionMax="47" xr10:uidLastSave="{00000000-0000-0000-0000-000000000000}"/>
  <bookViews>
    <workbookView xWindow="0" yWindow="660" windowWidth="29400" windowHeight="16660" tabRatio="500" xr2:uid="{00000000-000D-0000-FFFF-FFFF00000000}"/>
  </bookViews>
  <sheets>
    <sheet name="LiCor Li200R" sheetId="1" r:id="rId1"/>
    <sheet name="FRAMEworks LEMS" sheetId="2" r:id="rId2"/>
    <sheet name="Digikey - Resistors" sheetId="3" r:id="rId3"/>
  </sheets>
  <definedNames>
    <definedName name="_xlnm._FilterDatabase" localSheetId="1" hidden="1">'FRAMEworks LEMS'!$A$1:$F$37</definedName>
    <definedName name="_xlnm._FilterDatabase" localSheetId="0" hidden="1">'LiCor Li200R'!$A$1:$G$37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38" i="1"/>
  <c r="E39" i="1"/>
  <c r="E40" i="1"/>
  <c r="E41" i="1"/>
  <c r="E42" i="1"/>
  <c r="E22" i="1"/>
  <c r="E23" i="1"/>
  <c r="E24" i="1"/>
  <c r="E25" i="1"/>
  <c r="E26" i="1"/>
  <c r="E27" i="1"/>
  <c r="E28" i="1"/>
  <c r="E29" i="1"/>
  <c r="E30" i="1"/>
  <c r="E31" i="1"/>
  <c r="E32" i="1"/>
  <c r="E33" i="1"/>
  <c r="D42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F9" i="3"/>
  <c r="D9" i="3"/>
  <c r="H6" i="3"/>
  <c r="E6" i="3"/>
  <c r="H5" i="3"/>
  <c r="E5" i="3"/>
  <c r="H4" i="3"/>
  <c r="E4" i="3"/>
  <c r="H3" i="3"/>
  <c r="E3" i="3"/>
  <c r="H2" i="3"/>
  <c r="H9" i="3" s="1"/>
  <c r="E2" i="3"/>
  <c r="E9" i="3" s="1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G21" i="1"/>
  <c r="D21" i="1"/>
  <c r="E21" i="1" s="1"/>
  <c r="C21" i="1"/>
  <c r="C20" i="1"/>
  <c r="G20" i="1" s="1"/>
  <c r="C19" i="1"/>
  <c r="G19" i="1" s="1"/>
  <c r="G18" i="1"/>
  <c r="C18" i="1"/>
  <c r="C17" i="1"/>
  <c r="G17" i="1" s="1"/>
  <c r="G16" i="1"/>
  <c r="D16" i="1"/>
  <c r="E16" i="1" s="1"/>
  <c r="C16" i="1"/>
  <c r="C15" i="1"/>
  <c r="G15" i="1" s="1"/>
  <c r="C14" i="1"/>
  <c r="G13" i="1"/>
  <c r="C13" i="1"/>
  <c r="D13" i="1" s="1"/>
  <c r="C12" i="1"/>
  <c r="G12" i="1" s="1"/>
  <c r="J11" i="1"/>
  <c r="G11" i="1"/>
  <c r="C11" i="1"/>
  <c r="D11" i="1" s="1"/>
  <c r="E11" i="1" s="1"/>
  <c r="J10" i="1"/>
  <c r="C10" i="1"/>
  <c r="G10" i="1" s="1"/>
  <c r="G9" i="1"/>
  <c r="D9" i="1"/>
  <c r="E9" i="1" s="1"/>
  <c r="C9" i="1"/>
  <c r="C8" i="1"/>
  <c r="G8" i="1" s="1"/>
  <c r="C7" i="1"/>
  <c r="G6" i="1"/>
  <c r="C6" i="1"/>
  <c r="D6" i="1" s="1"/>
  <c r="C5" i="1"/>
  <c r="G5" i="1" s="1"/>
  <c r="G4" i="1"/>
  <c r="D4" i="1"/>
  <c r="E4" i="1" s="1"/>
  <c r="C4" i="1"/>
  <c r="C3" i="1"/>
  <c r="G3" i="1" s="1"/>
  <c r="C2" i="1"/>
  <c r="D18" i="1" l="1"/>
  <c r="E18" i="1" s="1"/>
  <c r="E6" i="1"/>
  <c r="E13" i="1"/>
  <c r="D2" i="1"/>
  <c r="E2" i="1" s="1"/>
  <c r="D7" i="1"/>
  <c r="E7" i="1" s="1"/>
  <c r="D19" i="1"/>
  <c r="E19" i="1" s="1"/>
  <c r="C2" i="2"/>
  <c r="G2" i="1"/>
  <c r="D5" i="1"/>
  <c r="E5" i="1" s="1"/>
  <c r="G7" i="1"/>
  <c r="D10" i="1"/>
  <c r="E10" i="1" s="1"/>
  <c r="D12" i="1"/>
  <c r="E12" i="1" s="1"/>
  <c r="G14" i="1"/>
  <c r="D17" i="1"/>
  <c r="E17" i="1" s="1"/>
  <c r="D14" i="1"/>
  <c r="E14" i="1" s="1"/>
  <c r="D3" i="1"/>
  <c r="E3" i="1" s="1"/>
  <c r="D8" i="1"/>
  <c r="E8" i="1" s="1"/>
  <c r="D15" i="1"/>
  <c r="E15" i="1" s="1"/>
  <c r="D20" i="1"/>
  <c r="E20" i="1" s="1"/>
</calcChain>
</file>

<file path=xl/sharedStrings.xml><?xml version="1.0" encoding="utf-8"?>
<sst xmlns="http://schemas.openxmlformats.org/spreadsheetml/2006/main" count="92" uniqueCount="64">
  <si>
    <t>Serial Number</t>
  </si>
  <si>
    <t>Calibration Constant (uA/(1000 Wm^-2))</t>
  </si>
  <si>
    <t>Calibration Constant (A/(Wm^-2))</t>
  </si>
  <si>
    <t>Ideal Resistor (Ohm)</t>
  </si>
  <si>
    <t>Ideal Max Voltage (V)</t>
  </si>
  <si>
    <t>Actual Resistor (Ohm)</t>
  </si>
  <si>
    <t>Actual Max Voltage (V)</t>
  </si>
  <si>
    <t>PY100375</t>
  </si>
  <si>
    <t>Constants</t>
  </si>
  <si>
    <t>PY103189</t>
  </si>
  <si>
    <t>Maximum Sunlight:</t>
  </si>
  <si>
    <t>W/m^2</t>
  </si>
  <si>
    <t>PY103193</t>
  </si>
  <si>
    <t>Maximum Voltage:</t>
  </si>
  <si>
    <t>V</t>
  </si>
  <si>
    <t>PY105646</t>
  </si>
  <si>
    <t>Rail Offset:</t>
  </si>
  <si>
    <t>PY105648</t>
  </si>
  <si>
    <t>PY105650</t>
  </si>
  <si>
    <t>PY105678</t>
  </si>
  <si>
    <t>Lookup LiCOR</t>
  </si>
  <si>
    <t>PY105686</t>
  </si>
  <si>
    <t>Serial Number:</t>
  </si>
  <si>
    <t>PY103194</t>
  </si>
  <si>
    <t>PY105862</t>
  </si>
  <si>
    <t>Calibration Constant:</t>
  </si>
  <si>
    <t>A/(Wm^-2)</t>
  </si>
  <si>
    <t>PY105863</t>
  </si>
  <si>
    <t>Actual Resistor:</t>
  </si>
  <si>
    <t>Ohm</t>
  </si>
  <si>
    <t>PY105990</t>
  </si>
  <si>
    <t>PY75566</t>
  </si>
  <si>
    <t>PY80039</t>
  </si>
  <si>
    <t>PY80040</t>
  </si>
  <si>
    <t>PY80041</t>
  </si>
  <si>
    <t>PY80042</t>
  </si>
  <si>
    <t>PY80043</t>
  </si>
  <si>
    <t>PY80044</t>
  </si>
  <si>
    <t>PY80045</t>
  </si>
  <si>
    <t>PY80046</t>
  </si>
  <si>
    <t>PY105989</t>
  </si>
  <si>
    <t>PY105697</t>
  </si>
  <si>
    <t>PY105695</t>
  </si>
  <si>
    <t>LEMS ID</t>
  </si>
  <si>
    <t>LiCor Serial Number</t>
  </si>
  <si>
    <t>example</t>
  </si>
  <si>
    <t>Mfr. #:</t>
  </si>
  <si>
    <t>Unit Price</t>
  </si>
  <si>
    <t>Units</t>
  </si>
  <si>
    <t>Cost</t>
  </si>
  <si>
    <t>Units to order</t>
  </si>
  <si>
    <t>Link</t>
  </si>
  <si>
    <t>MFP50SBRD52-37K</t>
  </si>
  <si>
    <t>https://www.digikey.com/en/products/detail/yageo/MFP50SBRD52-37K/9128048</t>
  </si>
  <si>
    <t>YR1B38K3CC</t>
  </si>
  <si>
    <t>https://www.digikey.com/en/products/detail/te-connectivity-passive-product/YR1B38K3CC/2390845</t>
  </si>
  <si>
    <t>YR1B39K2CC</t>
  </si>
  <si>
    <t>https://www.digikey.com/en/products/detail/te-connectivity-passive-product/YR1B39K2CC/2390848</t>
  </si>
  <si>
    <t>YR1B40K2CC</t>
  </si>
  <si>
    <t>https://www.digikey.com/en/products/detail/te-connectivity-passive-product/YR1B40K2CC/2390860</t>
  </si>
  <si>
    <t>YR1B41K2CC</t>
  </si>
  <si>
    <t>https://www.digikey.com/en/products/detail/te-connectivity-passive-product/YR1B41K2CC/2390862</t>
  </si>
  <si>
    <t>TOTAL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</si>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</sst>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0.0000E+00"/>
    <numFmt numFmtId="166" formatCode="0.00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rgb="FF444444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0" fontId="3" fillId="0" borderId="0"/>
  </cellStyleXfs>
  <cellXfs count="44">
    <xf numFmtId="0" fontId="0" fillId="0" borderId="0" xfId="0"/>
    <xf numFmtId="44" fontId="2" fillId="0" borderId="0" xfId="1" applyFont="1"/>
    <xf numFmtId="44" fontId="0" fillId="0" borderId="0" xfId="1" applyFont="1"/>
    <xf numFmtId="0" fontId="3" fillId="0" borderId="0" xfId="2"/>
    <xf numFmtId="44" fontId="5" fillId="0" borderId="0" xfId="1" applyFont="1"/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/>
    <xf numFmtId="44" fontId="0" fillId="0" borderId="3" xfId="1" applyFont="1" applyBorder="1"/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1" fontId="0" fillId="2" borderId="0" xfId="1" applyNumberFormat="1" applyFont="1" applyFill="1"/>
    <xf numFmtId="164" fontId="0" fillId="2" borderId="0" xfId="1" applyNumberFormat="1" applyFont="1" applyFill="1"/>
    <xf numFmtId="44" fontId="0" fillId="2" borderId="0" xfId="1" applyFont="1" applyFill="1"/>
    <xf numFmtId="44" fontId="0" fillId="2" borderId="3" xfId="1" applyFont="1" applyFill="1" applyBorder="1"/>
    <xf numFmtId="2" fontId="0" fillId="2" borderId="3" xfId="1" applyNumberFormat="1" applyFont="1" applyFill="1" applyBorder="1"/>
    <xf numFmtId="0" fontId="6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7" fillId="0" borderId="0" xfId="0" applyFont="1" applyAlignment="1">
      <alignment horizontal="left" vertical="center" wrapText="1"/>
    </xf>
    <xf numFmtId="165" fontId="0" fillId="0" borderId="0" xfId="0" applyNumberFormat="1"/>
    <xf numFmtId="2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0" fillId="2" borderId="1" xfId="0" applyFill="1" applyBorder="1" applyAlignment="1">
      <alignment horizontal="right"/>
    </xf>
    <xf numFmtId="0" fontId="0" fillId="0" borderId="5" xfId="0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0" borderId="6" xfId="0" applyBorder="1"/>
    <xf numFmtId="0" fontId="0" fillId="3" borderId="7" xfId="0" applyFill="1" applyBorder="1" applyAlignment="1">
      <alignment horizontal="right"/>
    </xf>
    <xf numFmtId="0" fontId="0" fillId="0" borderId="8" xfId="0" applyBorder="1" applyAlignment="1">
      <alignment horizontal="center"/>
    </xf>
    <xf numFmtId="0" fontId="10" fillId="0" borderId="0" xfId="0" applyFont="1"/>
    <xf numFmtId="0" fontId="7" fillId="0" borderId="11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1" fillId="0" borderId="0" xfId="0" applyFont="1"/>
    <xf numFmtId="0" fontId="2" fillId="0" borderId="12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" xfId="0" applyFont="1" applyBorder="1" applyAlignment="1">
      <alignment horizontal="center" wrapText="1"/>
    </xf>
    <xf numFmtId="0" fontId="0" fillId="0" borderId="3" xfId="0" applyBorder="1"/>
    <xf numFmtId="0" fontId="0" fillId="0" borderId="2" xfId="0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te-connectivity-passive-product/YR1B39K2CC/2390848" TargetMode="External"/><Relationship Id="rId2" Type="http://schemas.openxmlformats.org/officeDocument/2006/relationships/hyperlink" Target="https://www.digikey.com/en/products/detail/te-connectivity-passive-product/YR1B38K3CC/2390845" TargetMode="External"/><Relationship Id="rId1" Type="http://schemas.openxmlformats.org/officeDocument/2006/relationships/hyperlink" Target="https://www.digikey.com/en/products/detail/yageo/MFP50SBRD52-37K/9128048" TargetMode="External"/><Relationship Id="rId5" Type="http://schemas.openxmlformats.org/officeDocument/2006/relationships/hyperlink" Target="https://www.digikey.com/en/products/detail/te-connectivity-passive-product/YR1B41K2CC/2390862" TargetMode="External"/><Relationship Id="rId4" Type="http://schemas.openxmlformats.org/officeDocument/2006/relationships/hyperlink" Target="https://www.digikey.com/en/products/detail/te-connectivity-passive-product/YR1B40K2CC/23908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A30" zoomScale="140" zoomScaleNormal="140" workbookViewId="0">
      <selection activeCell="D43" sqref="D43:D62"/>
    </sheetView>
  </sheetViews>
  <sheetFormatPr baseColWidth="10" defaultColWidth="11.1640625" defaultRowHeight="16" x14ac:dyDescent="0.2"/>
  <cols>
    <col min="1" max="1" width="11.1640625" customWidth="1"/>
    <col min="2" max="2" width="13.6640625" customWidth="1"/>
    <col min="3" max="3" width="17.33203125" customWidth="1"/>
    <col min="4" max="4" width="10.83203125" customWidth="1"/>
    <col min="5" max="5" width="10.33203125" customWidth="1"/>
    <col min="6" max="6" width="13.83203125" customWidth="1"/>
    <col min="7" max="7" width="10.33203125" customWidth="1"/>
    <col min="8" max="8" width="6.83203125" style="2" bestFit="1" customWidth="1"/>
    <col min="9" max="9" width="18.33203125" customWidth="1"/>
  </cols>
  <sheetData>
    <row r="1" spans="1:11" ht="84" customHeight="1" thickBot="1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1"/>
    </row>
    <row r="2" spans="1:11" ht="17" customHeight="1" thickTop="1" x14ac:dyDescent="0.2">
      <c r="A2" t="s">
        <v>7</v>
      </c>
      <c r="B2" s="33">
        <v>74.22</v>
      </c>
      <c r="C2" s="21">
        <f t="shared" ref="C2:C42" si="0">B2*0.000000001</f>
        <v>7.4219999999999999E-8</v>
      </c>
      <c r="D2" s="22">
        <f t="shared" ref="D2:D62" si="1">($J$4-$J$5)/(C2*$J$3)</f>
        <v>33683.64322285098</v>
      </c>
      <c r="E2">
        <f t="shared" ref="E2:E42" si="2">(C2*$J$3)*D2</f>
        <v>2.9999999999999996</v>
      </c>
      <c r="G2">
        <f t="shared" ref="G2:G21" si="3">(C2*$J$3)*F2</f>
        <v>0</v>
      </c>
      <c r="I2" s="41" t="s">
        <v>8</v>
      </c>
      <c r="J2" s="42"/>
      <c r="K2" s="43"/>
    </row>
    <row r="3" spans="1:11" x14ac:dyDescent="0.2">
      <c r="A3" t="s">
        <v>9</v>
      </c>
      <c r="B3" s="33">
        <v>54.93</v>
      </c>
      <c r="C3" s="21">
        <f t="shared" si="0"/>
        <v>5.4930000000000003E-8</v>
      </c>
      <c r="D3" s="22">
        <f t="shared" si="1"/>
        <v>45512.470416894233</v>
      </c>
      <c r="E3">
        <f t="shared" si="2"/>
        <v>3</v>
      </c>
      <c r="G3">
        <f t="shared" si="3"/>
        <v>0</v>
      </c>
      <c r="I3" s="23" t="s">
        <v>10</v>
      </c>
      <c r="J3" s="24">
        <v>1200</v>
      </c>
      <c r="K3" s="25" t="s">
        <v>11</v>
      </c>
    </row>
    <row r="4" spans="1:11" x14ac:dyDescent="0.2">
      <c r="A4" t="s">
        <v>12</v>
      </c>
      <c r="B4" s="33">
        <v>52.58</v>
      </c>
      <c r="C4" s="21">
        <f t="shared" si="0"/>
        <v>5.2579999999999998E-8</v>
      </c>
      <c r="D4" s="22">
        <f t="shared" si="1"/>
        <v>47546.595663750479</v>
      </c>
      <c r="E4">
        <f t="shared" si="2"/>
        <v>3</v>
      </c>
      <c r="G4">
        <f t="shared" si="3"/>
        <v>0</v>
      </c>
      <c r="I4" s="23" t="s">
        <v>13</v>
      </c>
      <c r="J4" s="24">
        <v>3</v>
      </c>
      <c r="K4" s="25" t="s">
        <v>14</v>
      </c>
    </row>
    <row r="5" spans="1:11" x14ac:dyDescent="0.2">
      <c r="A5" t="s">
        <v>15</v>
      </c>
      <c r="B5" s="33">
        <v>58.53</v>
      </c>
      <c r="C5" s="21">
        <f t="shared" si="0"/>
        <v>5.8530000000000002E-8</v>
      </c>
      <c r="D5" s="22">
        <f t="shared" si="1"/>
        <v>42713.138561421496</v>
      </c>
      <c r="E5">
        <f t="shared" si="2"/>
        <v>3</v>
      </c>
      <c r="G5">
        <f t="shared" si="3"/>
        <v>0</v>
      </c>
      <c r="I5" s="23" t="s">
        <v>16</v>
      </c>
      <c r="J5" s="24">
        <v>0</v>
      </c>
      <c r="K5" s="25" t="s">
        <v>14</v>
      </c>
    </row>
    <row r="6" spans="1:11" x14ac:dyDescent="0.2">
      <c r="A6" t="s">
        <v>17</v>
      </c>
      <c r="B6" s="33">
        <v>63.72</v>
      </c>
      <c r="C6" s="21">
        <f t="shared" si="0"/>
        <v>6.3720000000000004E-8</v>
      </c>
      <c r="D6" s="22">
        <f t="shared" si="1"/>
        <v>39234.149403640928</v>
      </c>
      <c r="E6">
        <f t="shared" si="2"/>
        <v>3</v>
      </c>
      <c r="G6">
        <f t="shared" si="3"/>
        <v>0</v>
      </c>
    </row>
    <row r="7" spans="1:11" ht="17" customHeight="1" thickBot="1" x14ac:dyDescent="0.25">
      <c r="A7" t="s">
        <v>18</v>
      </c>
      <c r="B7" s="33">
        <v>59.78</v>
      </c>
      <c r="C7" s="21">
        <f t="shared" si="0"/>
        <v>5.978000000000001E-8</v>
      </c>
      <c r="D7" s="22">
        <f t="shared" si="1"/>
        <v>41820.006691201066</v>
      </c>
      <c r="E7">
        <f t="shared" si="2"/>
        <v>3</v>
      </c>
      <c r="G7">
        <f t="shared" si="3"/>
        <v>0</v>
      </c>
    </row>
    <row r="8" spans="1:11" x14ac:dyDescent="0.2">
      <c r="A8" t="s">
        <v>19</v>
      </c>
      <c r="B8" s="33">
        <v>64.62</v>
      </c>
      <c r="C8" s="21">
        <f t="shared" si="0"/>
        <v>6.4620000000000006E-8</v>
      </c>
      <c r="D8" s="22">
        <f t="shared" si="1"/>
        <v>38687.712782420305</v>
      </c>
      <c r="E8">
        <f t="shared" si="2"/>
        <v>3</v>
      </c>
      <c r="G8">
        <f t="shared" si="3"/>
        <v>0</v>
      </c>
      <c r="I8" s="38" t="s">
        <v>20</v>
      </c>
      <c r="J8" s="39"/>
      <c r="K8" s="40"/>
    </row>
    <row r="9" spans="1:11" x14ac:dyDescent="0.2">
      <c r="A9" t="s">
        <v>21</v>
      </c>
      <c r="B9" s="33">
        <v>59.82</v>
      </c>
      <c r="C9" s="21">
        <f t="shared" si="0"/>
        <v>5.9820000000000002E-8</v>
      </c>
      <c r="D9" s="22">
        <f t="shared" si="1"/>
        <v>41792.042795051821</v>
      </c>
      <c r="E9">
        <f t="shared" si="2"/>
        <v>3</v>
      </c>
      <c r="G9">
        <f t="shared" si="3"/>
        <v>0</v>
      </c>
      <c r="I9" s="26" t="s">
        <v>22</v>
      </c>
      <c r="J9" s="27" t="s">
        <v>23</v>
      </c>
      <c r="K9" s="28"/>
    </row>
    <row r="10" spans="1:11" x14ac:dyDescent="0.2">
      <c r="A10" t="s">
        <v>24</v>
      </c>
      <c r="B10" s="33">
        <v>59.41</v>
      </c>
      <c r="C10" s="21">
        <f t="shared" si="0"/>
        <v>5.9410000000000001E-8</v>
      </c>
      <c r="D10" s="22">
        <f t="shared" si="1"/>
        <v>42080.457835381254</v>
      </c>
      <c r="E10">
        <f t="shared" si="2"/>
        <v>3</v>
      </c>
      <c r="G10">
        <f t="shared" si="3"/>
        <v>0</v>
      </c>
      <c r="I10" s="26" t="s">
        <v>25</v>
      </c>
      <c r="J10" s="29">
        <f>VLOOKUP(J9,'LiCor Li200R'!$A$2:$G$37,3,FALSE)</f>
        <v>5.7800000000000001E-8</v>
      </c>
      <c r="K10" s="28" t="s">
        <v>26</v>
      </c>
    </row>
    <row r="11" spans="1:11" ht="17" customHeight="1" thickBot="1" x14ac:dyDescent="0.25">
      <c r="A11" t="s">
        <v>27</v>
      </c>
      <c r="B11" s="33">
        <v>62.62</v>
      </c>
      <c r="C11" s="21">
        <f t="shared" si="0"/>
        <v>6.2620000000000001E-8</v>
      </c>
      <c r="D11" s="22">
        <f t="shared" si="1"/>
        <v>39923.347173427021</v>
      </c>
      <c r="E11">
        <f t="shared" si="2"/>
        <v>3</v>
      </c>
      <c r="G11">
        <f t="shared" si="3"/>
        <v>0</v>
      </c>
      <c r="I11" s="30" t="s">
        <v>28</v>
      </c>
      <c r="J11" s="31">
        <f>VLOOKUP(J9,'LiCor Li200R'!$A$2:$G$37,6,FALSE)</f>
        <v>0</v>
      </c>
      <c r="K11" s="32" t="s">
        <v>29</v>
      </c>
    </row>
    <row r="12" spans="1:11" x14ac:dyDescent="0.2">
      <c r="A12" t="s">
        <v>30</v>
      </c>
      <c r="B12" s="33">
        <v>63.61</v>
      </c>
      <c r="C12" s="21">
        <f t="shared" si="0"/>
        <v>6.3609999999999999E-8</v>
      </c>
      <c r="D12" s="22">
        <f t="shared" si="1"/>
        <v>39301.996541424305</v>
      </c>
      <c r="E12">
        <f t="shared" si="2"/>
        <v>3</v>
      </c>
      <c r="G12">
        <f t="shared" si="3"/>
        <v>0</v>
      </c>
    </row>
    <row r="13" spans="1:11" x14ac:dyDescent="0.2">
      <c r="A13" t="s">
        <v>31</v>
      </c>
      <c r="B13">
        <v>102.25</v>
      </c>
      <c r="C13" s="21">
        <f t="shared" si="0"/>
        <v>1.0225000000000001E-7</v>
      </c>
      <c r="D13" s="22">
        <f t="shared" si="1"/>
        <v>24449.877750611246</v>
      </c>
      <c r="E13">
        <f t="shared" si="2"/>
        <v>3</v>
      </c>
      <c r="G13">
        <f t="shared" si="3"/>
        <v>0</v>
      </c>
    </row>
    <row r="14" spans="1:11" x14ac:dyDescent="0.2">
      <c r="A14" t="s">
        <v>32</v>
      </c>
      <c r="B14" s="33">
        <v>93.71</v>
      </c>
      <c r="C14" s="21">
        <f t="shared" si="0"/>
        <v>9.3709999999999997E-8</v>
      </c>
      <c r="D14" s="22">
        <f t="shared" si="1"/>
        <v>26678.049301035109</v>
      </c>
      <c r="E14">
        <f t="shared" si="2"/>
        <v>3</v>
      </c>
      <c r="G14">
        <f t="shared" si="3"/>
        <v>0</v>
      </c>
    </row>
    <row r="15" spans="1:11" x14ac:dyDescent="0.2">
      <c r="A15" t="s">
        <v>33</v>
      </c>
      <c r="B15">
        <v>99.26</v>
      </c>
      <c r="C15" s="21">
        <f t="shared" si="0"/>
        <v>9.9260000000000017E-8</v>
      </c>
      <c r="D15" s="22">
        <f t="shared" si="1"/>
        <v>25186.379206125323</v>
      </c>
      <c r="E15">
        <f t="shared" si="2"/>
        <v>3</v>
      </c>
      <c r="G15">
        <f t="shared" si="3"/>
        <v>0</v>
      </c>
    </row>
    <row r="16" spans="1:11" x14ac:dyDescent="0.2">
      <c r="A16" t="s">
        <v>34</v>
      </c>
      <c r="B16" s="33">
        <v>102.44</v>
      </c>
      <c r="C16" s="21">
        <f t="shared" si="0"/>
        <v>1.0244000000000001E-7</v>
      </c>
      <c r="D16" s="22">
        <f t="shared" si="1"/>
        <v>24404.529480671608</v>
      </c>
      <c r="E16">
        <f t="shared" si="2"/>
        <v>3</v>
      </c>
      <c r="G16">
        <f t="shared" si="3"/>
        <v>0</v>
      </c>
    </row>
    <row r="17" spans="1:7" x14ac:dyDescent="0.2">
      <c r="A17" t="s">
        <v>35</v>
      </c>
      <c r="B17" s="33">
        <v>86.06</v>
      </c>
      <c r="C17" s="21">
        <f t="shared" si="0"/>
        <v>8.6060000000000004E-8</v>
      </c>
      <c r="D17" s="22">
        <f t="shared" si="1"/>
        <v>29049.500348594</v>
      </c>
      <c r="E17">
        <f t="shared" si="2"/>
        <v>3</v>
      </c>
      <c r="G17">
        <f t="shared" si="3"/>
        <v>0</v>
      </c>
    </row>
    <row r="18" spans="1:7" x14ac:dyDescent="0.2">
      <c r="A18" t="s">
        <v>36</v>
      </c>
      <c r="B18" s="33">
        <v>92.54</v>
      </c>
      <c r="C18" s="21">
        <f t="shared" si="0"/>
        <v>9.2540000000000007E-8</v>
      </c>
      <c r="D18" s="22">
        <f t="shared" si="1"/>
        <v>27015.344715798572</v>
      </c>
      <c r="E18">
        <f t="shared" si="2"/>
        <v>3</v>
      </c>
      <c r="G18">
        <f t="shared" si="3"/>
        <v>0</v>
      </c>
    </row>
    <row r="19" spans="1:7" x14ac:dyDescent="0.2">
      <c r="A19" t="s">
        <v>37</v>
      </c>
      <c r="B19" s="33">
        <v>87.99</v>
      </c>
      <c r="C19" s="21">
        <f t="shared" si="0"/>
        <v>8.7989999999999996E-8</v>
      </c>
      <c r="D19" s="22">
        <f t="shared" si="1"/>
        <v>28412.319581770658</v>
      </c>
      <c r="E19">
        <f t="shared" si="2"/>
        <v>3</v>
      </c>
      <c r="G19">
        <f t="shared" si="3"/>
        <v>0</v>
      </c>
    </row>
    <row r="20" spans="1:7" x14ac:dyDescent="0.2">
      <c r="A20" t="s">
        <v>38</v>
      </c>
      <c r="B20" s="33">
        <v>93.4</v>
      </c>
      <c r="C20" s="21">
        <f t="shared" si="0"/>
        <v>9.3400000000000016E-8</v>
      </c>
      <c r="D20" s="22">
        <f t="shared" si="1"/>
        <v>26766.595289079225</v>
      </c>
      <c r="E20">
        <f t="shared" si="2"/>
        <v>3</v>
      </c>
      <c r="G20">
        <f t="shared" si="3"/>
        <v>0</v>
      </c>
    </row>
    <row r="21" spans="1:7" x14ac:dyDescent="0.2">
      <c r="A21" t="s">
        <v>39</v>
      </c>
      <c r="B21" s="33">
        <v>90.07</v>
      </c>
      <c r="C21" s="21">
        <f t="shared" si="0"/>
        <v>9.0069999999999999E-8</v>
      </c>
      <c r="D21" s="22">
        <f t="shared" si="1"/>
        <v>27756.189630287554</v>
      </c>
      <c r="E21">
        <f t="shared" si="2"/>
        <v>3</v>
      </c>
      <c r="G21">
        <f t="shared" si="3"/>
        <v>0</v>
      </c>
    </row>
    <row r="22" spans="1:7" x14ac:dyDescent="0.2">
      <c r="A22" t="s">
        <v>23</v>
      </c>
      <c r="B22">
        <v>57.8</v>
      </c>
      <c r="C22" s="21">
        <f t="shared" si="0"/>
        <v>5.7800000000000001E-8</v>
      </c>
      <c r="D22" s="22">
        <f t="shared" si="1"/>
        <v>43252.595155709343</v>
      </c>
      <c r="E22">
        <f t="shared" si="2"/>
        <v>3</v>
      </c>
    </row>
    <row r="23" spans="1:7" x14ac:dyDescent="0.2">
      <c r="A23" t="s">
        <v>24</v>
      </c>
      <c r="B23">
        <v>59.41</v>
      </c>
      <c r="C23" s="21">
        <f t="shared" si="0"/>
        <v>5.9410000000000001E-8</v>
      </c>
      <c r="D23" s="22">
        <f t="shared" si="1"/>
        <v>42080.457835381254</v>
      </c>
      <c r="E23">
        <f t="shared" si="2"/>
        <v>3</v>
      </c>
    </row>
    <row r="24" spans="1:7" x14ac:dyDescent="0.2">
      <c r="A24" t="s">
        <v>18</v>
      </c>
      <c r="B24">
        <v>59.78</v>
      </c>
      <c r="C24" s="21">
        <f t="shared" si="0"/>
        <v>5.978000000000001E-8</v>
      </c>
      <c r="D24" s="22">
        <f t="shared" si="1"/>
        <v>41820.006691201066</v>
      </c>
      <c r="E24">
        <f t="shared" si="2"/>
        <v>3</v>
      </c>
    </row>
    <row r="25" spans="1:7" x14ac:dyDescent="0.2">
      <c r="A25" t="s">
        <v>27</v>
      </c>
      <c r="B25">
        <v>62.62</v>
      </c>
      <c r="C25" s="21">
        <f t="shared" si="0"/>
        <v>6.2620000000000001E-8</v>
      </c>
      <c r="D25" s="22">
        <f t="shared" si="1"/>
        <v>39923.347173427021</v>
      </c>
      <c r="E25">
        <f t="shared" si="2"/>
        <v>3</v>
      </c>
    </row>
    <row r="26" spans="1:7" x14ac:dyDescent="0.2">
      <c r="A26" t="s">
        <v>12</v>
      </c>
      <c r="B26">
        <v>52.58</v>
      </c>
      <c r="C26" s="21">
        <f t="shared" si="0"/>
        <v>5.2579999999999998E-8</v>
      </c>
      <c r="D26" s="22">
        <f t="shared" si="1"/>
        <v>47546.595663750479</v>
      </c>
      <c r="E26">
        <f t="shared" si="2"/>
        <v>3</v>
      </c>
    </row>
    <row r="27" spans="1:7" x14ac:dyDescent="0.2">
      <c r="A27" t="s">
        <v>15</v>
      </c>
      <c r="B27">
        <v>58.53</v>
      </c>
      <c r="C27" s="21">
        <f t="shared" si="0"/>
        <v>5.8530000000000002E-8</v>
      </c>
      <c r="D27" s="22">
        <f t="shared" si="1"/>
        <v>42713.138561421496</v>
      </c>
      <c r="E27">
        <f t="shared" si="2"/>
        <v>3</v>
      </c>
    </row>
    <row r="28" spans="1:7" x14ac:dyDescent="0.2">
      <c r="A28" t="s">
        <v>31</v>
      </c>
      <c r="B28">
        <v>102.25</v>
      </c>
      <c r="C28" s="21">
        <f t="shared" si="0"/>
        <v>1.0225000000000001E-7</v>
      </c>
      <c r="D28" s="22">
        <f t="shared" si="1"/>
        <v>24449.877750611246</v>
      </c>
      <c r="E28">
        <f t="shared" si="2"/>
        <v>3</v>
      </c>
    </row>
    <row r="29" spans="1:7" x14ac:dyDescent="0.2">
      <c r="A29" t="s">
        <v>7</v>
      </c>
      <c r="B29">
        <v>74.22</v>
      </c>
      <c r="C29" s="21">
        <f t="shared" si="0"/>
        <v>7.4219999999999999E-8</v>
      </c>
      <c r="D29" s="22">
        <f t="shared" si="1"/>
        <v>33683.64322285098</v>
      </c>
      <c r="E29">
        <f t="shared" si="2"/>
        <v>2.9999999999999996</v>
      </c>
    </row>
    <row r="30" spans="1:7" x14ac:dyDescent="0.2">
      <c r="A30" t="s">
        <v>36</v>
      </c>
      <c r="B30">
        <v>92.54</v>
      </c>
      <c r="C30" s="21">
        <f t="shared" si="0"/>
        <v>9.2540000000000007E-8</v>
      </c>
      <c r="D30" s="22">
        <f t="shared" si="1"/>
        <v>27015.344715798572</v>
      </c>
      <c r="E30">
        <f t="shared" si="2"/>
        <v>3</v>
      </c>
    </row>
    <row r="31" spans="1:7" x14ac:dyDescent="0.2">
      <c r="A31" t="s">
        <v>39</v>
      </c>
      <c r="B31">
        <v>90.07</v>
      </c>
      <c r="C31" s="21">
        <f t="shared" si="0"/>
        <v>9.0069999999999999E-8</v>
      </c>
      <c r="D31" s="22">
        <f t="shared" si="1"/>
        <v>27756.189630287554</v>
      </c>
      <c r="E31">
        <f t="shared" si="2"/>
        <v>3</v>
      </c>
    </row>
    <row r="32" spans="1:7" x14ac:dyDescent="0.2">
      <c r="A32" t="s">
        <v>35</v>
      </c>
      <c r="B32">
        <v>86.06</v>
      </c>
      <c r="C32" s="21">
        <f t="shared" si="0"/>
        <v>8.6060000000000004E-8</v>
      </c>
      <c r="D32" s="22">
        <f t="shared" si="1"/>
        <v>29049.500348594</v>
      </c>
      <c r="E32">
        <f t="shared" si="2"/>
        <v>3</v>
      </c>
    </row>
    <row r="33" spans="1:5" x14ac:dyDescent="0.2">
      <c r="A33" t="s">
        <v>38</v>
      </c>
      <c r="B33">
        <v>93.4</v>
      </c>
      <c r="C33" s="21">
        <f t="shared" si="0"/>
        <v>9.3400000000000016E-8</v>
      </c>
      <c r="D33" s="22">
        <f t="shared" si="1"/>
        <v>26766.595289079225</v>
      </c>
      <c r="E33">
        <f t="shared" si="2"/>
        <v>3</v>
      </c>
    </row>
    <row r="34" spans="1:5" x14ac:dyDescent="0.2">
      <c r="A34" t="s">
        <v>32</v>
      </c>
      <c r="B34">
        <v>93.71</v>
      </c>
      <c r="C34" s="21">
        <f t="shared" si="0"/>
        <v>9.3709999999999997E-8</v>
      </c>
      <c r="D34" s="22">
        <f t="shared" si="1"/>
        <v>26678.049301035109</v>
      </c>
      <c r="E34">
        <f t="shared" si="2"/>
        <v>3</v>
      </c>
    </row>
    <row r="35" spans="1:5" x14ac:dyDescent="0.2">
      <c r="A35" t="s">
        <v>37</v>
      </c>
      <c r="B35">
        <v>87.99</v>
      </c>
      <c r="C35" s="21">
        <f t="shared" si="0"/>
        <v>8.7989999999999996E-8</v>
      </c>
      <c r="D35" s="22">
        <f t="shared" si="1"/>
        <v>28412.319581770658</v>
      </c>
      <c r="E35">
        <f t="shared" si="2"/>
        <v>3</v>
      </c>
    </row>
    <row r="36" spans="1:5" x14ac:dyDescent="0.2">
      <c r="A36" t="s">
        <v>33</v>
      </c>
      <c r="B36">
        <v>99.26</v>
      </c>
      <c r="C36" s="21">
        <f t="shared" si="0"/>
        <v>9.9260000000000017E-8</v>
      </c>
      <c r="D36" s="22">
        <f t="shared" si="1"/>
        <v>25186.379206125323</v>
      </c>
      <c r="E36">
        <f t="shared" si="2"/>
        <v>3</v>
      </c>
    </row>
    <row r="37" spans="1:5" x14ac:dyDescent="0.2">
      <c r="A37" t="s">
        <v>40</v>
      </c>
      <c r="B37">
        <v>60.34</v>
      </c>
      <c r="C37" s="21">
        <f t="shared" si="0"/>
        <v>6.034000000000001E-8</v>
      </c>
      <c r="D37" s="22">
        <f t="shared" si="1"/>
        <v>41431.885979449777</v>
      </c>
      <c r="E37">
        <f t="shared" si="2"/>
        <v>3</v>
      </c>
    </row>
    <row r="38" spans="1:5" x14ac:dyDescent="0.2">
      <c r="A38" t="s">
        <v>23</v>
      </c>
      <c r="B38">
        <v>57.8</v>
      </c>
      <c r="C38" s="21">
        <f t="shared" si="0"/>
        <v>5.7800000000000001E-8</v>
      </c>
      <c r="D38" s="22">
        <f t="shared" si="1"/>
        <v>43252.595155709343</v>
      </c>
      <c r="E38">
        <f t="shared" si="2"/>
        <v>3</v>
      </c>
    </row>
    <row r="39" spans="1:5" x14ac:dyDescent="0.2">
      <c r="A39" t="s">
        <v>34</v>
      </c>
      <c r="B39">
        <v>102.44</v>
      </c>
      <c r="C39" s="21">
        <f t="shared" si="0"/>
        <v>1.0244000000000001E-7</v>
      </c>
      <c r="D39" s="22">
        <f t="shared" si="1"/>
        <v>24404.529480671608</v>
      </c>
      <c r="E39">
        <f t="shared" si="2"/>
        <v>3</v>
      </c>
    </row>
    <row r="40" spans="1:5" x14ac:dyDescent="0.2">
      <c r="A40" t="s">
        <v>19</v>
      </c>
      <c r="B40">
        <v>64.62</v>
      </c>
      <c r="C40" s="21">
        <f t="shared" si="0"/>
        <v>6.4620000000000006E-8</v>
      </c>
      <c r="D40" s="22">
        <f t="shared" si="1"/>
        <v>38687.712782420305</v>
      </c>
      <c r="E40">
        <f t="shared" si="2"/>
        <v>3</v>
      </c>
    </row>
    <row r="41" spans="1:5" x14ac:dyDescent="0.2">
      <c r="A41" t="s">
        <v>41</v>
      </c>
      <c r="B41">
        <v>64.510000000000005</v>
      </c>
      <c r="C41" s="21">
        <f t="shared" si="0"/>
        <v>6.4510000000000013E-8</v>
      </c>
      <c r="D41" s="22">
        <f t="shared" si="1"/>
        <v>38753.681599751973</v>
      </c>
      <c r="E41">
        <f t="shared" si="2"/>
        <v>3</v>
      </c>
    </row>
    <row r="42" spans="1:5" x14ac:dyDescent="0.2">
      <c r="A42" t="s">
        <v>42</v>
      </c>
      <c r="B42">
        <v>60.34</v>
      </c>
      <c r="C42" s="21">
        <f t="shared" si="0"/>
        <v>6.034000000000001E-8</v>
      </c>
      <c r="D42" s="22">
        <f t="shared" si="1"/>
        <v>41431.885979449777</v>
      </c>
      <c r="E42">
        <f t="shared" si="2"/>
        <v>3</v>
      </c>
    </row>
    <row r="43" spans="1:5" x14ac:dyDescent="0.2">
      <c r="D43" s="22"/>
    </row>
    <row r="44" spans="1:5" x14ac:dyDescent="0.2">
      <c r="D44" s="22"/>
    </row>
    <row r="45" spans="1:5" x14ac:dyDescent="0.2">
      <c r="D45" s="22"/>
    </row>
    <row r="46" spans="1:5" x14ac:dyDescent="0.2">
      <c r="D46" s="22"/>
    </row>
    <row r="47" spans="1:5" x14ac:dyDescent="0.2">
      <c r="D47" s="22"/>
    </row>
    <row r="48" spans="1:5" x14ac:dyDescent="0.2">
      <c r="D48" s="22"/>
    </row>
    <row r="49" spans="4:4" x14ac:dyDescent="0.2">
      <c r="D49" s="22"/>
    </row>
    <row r="50" spans="4:4" x14ac:dyDescent="0.2">
      <c r="D50" s="22"/>
    </row>
    <row r="51" spans="4:4" x14ac:dyDescent="0.2">
      <c r="D51" s="22"/>
    </row>
    <row r="52" spans="4:4" x14ac:dyDescent="0.2">
      <c r="D52" s="22"/>
    </row>
    <row r="53" spans="4:4" x14ac:dyDescent="0.2">
      <c r="D53" s="22"/>
    </row>
    <row r="54" spans="4:4" x14ac:dyDescent="0.2">
      <c r="D54" s="22"/>
    </row>
    <row r="55" spans="4:4" x14ac:dyDescent="0.2">
      <c r="D55" s="22"/>
    </row>
    <row r="56" spans="4:4" x14ac:dyDescent="0.2">
      <c r="D56" s="22"/>
    </row>
    <row r="57" spans="4:4" x14ac:dyDescent="0.2">
      <c r="D57" s="22"/>
    </row>
    <row r="58" spans="4:4" x14ac:dyDescent="0.2">
      <c r="D58" s="22"/>
    </row>
    <row r="59" spans="4:4" x14ac:dyDescent="0.2">
      <c r="D59" s="22"/>
    </row>
    <row r="60" spans="4:4" x14ac:dyDescent="0.2">
      <c r="D60" s="22"/>
    </row>
    <row r="61" spans="4:4" x14ac:dyDescent="0.2">
      <c r="D61" s="22"/>
    </row>
    <row r="62" spans="4:4" x14ac:dyDescent="0.2">
      <c r="D62" s="22"/>
    </row>
  </sheetData>
  <autoFilter ref="A1:G37" xr:uid="{00000000-0009-0000-0000-000000000000}">
    <sortState xmlns:xlrd2="http://schemas.microsoft.com/office/spreadsheetml/2017/richdata2" ref="A2:G37">
      <sortCondition ref="A1:A37"/>
    </sortState>
  </autoFilter>
  <mergeCells count="2">
    <mergeCell ref="I8:K8"/>
    <mergeCell ref="I2:K2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zoomScale="150" zoomScaleNormal="150" workbookViewId="0">
      <selection activeCell="F12" sqref="F12"/>
    </sheetView>
  </sheetViews>
  <sheetFormatPr baseColWidth="10" defaultColWidth="11" defaultRowHeight="16" x14ac:dyDescent="0.2"/>
  <cols>
    <col min="1" max="1" width="12.6640625" customWidth="1"/>
    <col min="2" max="2" width="14.5" customWidth="1"/>
    <col min="3" max="3" width="19.5" customWidth="1"/>
    <col min="4" max="4" width="18" customWidth="1"/>
    <col min="5" max="5" width="32.33203125" customWidth="1"/>
    <col min="6" max="6" width="26.33203125" customWidth="1"/>
    <col min="7" max="7" width="12.33203125" customWidth="1"/>
  </cols>
  <sheetData>
    <row r="1" spans="1:7" s="18" customFormat="1" ht="49" customHeight="1" thickBot="1" x14ac:dyDescent="0.25">
      <c r="A1" s="34" t="s">
        <v>43</v>
      </c>
      <c r="B1" s="34" t="s">
        <v>44</v>
      </c>
      <c r="C1" s="35" t="s">
        <v>2</v>
      </c>
      <c r="D1" s="36" t="s">
        <v>5</v>
      </c>
      <c r="E1" s="20"/>
      <c r="F1" s="20"/>
      <c r="G1" s="20"/>
    </row>
    <row r="2" spans="1:7" ht="17" customHeight="1" thickTop="1" x14ac:dyDescent="0.2">
      <c r="A2" s="19" t="s">
        <v>45</v>
      </c>
      <c r="B2" s="19" t="s">
        <v>7</v>
      </c>
      <c r="C2" s="19">
        <f>VLOOKUP(B2,'LiCor Li200R'!$A$2:$G$37,3,FALSE)</f>
        <v>7.4219999999999999E-8</v>
      </c>
      <c r="D2" s="19">
        <f>VLOOKUP(B2,'LiCor Li200R'!$A$2:$G$37,6,FALSE)</f>
        <v>0</v>
      </c>
      <c r="E2" s="19"/>
      <c r="F2" s="19"/>
      <c r="G2" s="19"/>
    </row>
    <row r="3" spans="1:7" x14ac:dyDescent="0.2">
      <c r="A3" s="19"/>
      <c r="B3" s="19"/>
      <c r="C3" s="19" t="e">
        <f>VLOOKUP(B3,'LiCor Li200R'!$A$2:$C$37,2,FALSE)</f>
        <v>#N/A</v>
      </c>
      <c r="D3" s="19" t="e">
        <f>VLOOKUP(B3,'LiCor Li200R'!$A$2:$F$37,5,FALSE)</f>
        <v>#N/A</v>
      </c>
      <c r="E3" s="19"/>
      <c r="F3" s="19"/>
      <c r="G3" s="19"/>
    </row>
    <row r="4" spans="1:7" x14ac:dyDescent="0.2">
      <c r="A4" s="19"/>
      <c r="B4" s="19"/>
      <c r="C4" s="19" t="e">
        <f>VLOOKUP(B4,'LiCor Li200R'!$A$2:$C$37,2,FALSE)</f>
        <v>#N/A</v>
      </c>
      <c r="D4" s="19" t="e">
        <f>VLOOKUP(B4,'LiCor Li200R'!$A$2:$F$37,5,FALSE)</f>
        <v>#N/A</v>
      </c>
      <c r="E4" s="19"/>
      <c r="F4" s="19"/>
      <c r="G4" s="19"/>
    </row>
    <row r="5" spans="1:7" x14ac:dyDescent="0.2">
      <c r="A5" s="19"/>
      <c r="B5" s="19"/>
      <c r="C5" s="19" t="e">
        <f>VLOOKUP(B5,'LiCor Li200R'!$A$2:$C$37,2,FALSE)</f>
        <v>#N/A</v>
      </c>
      <c r="D5" s="19" t="e">
        <f>VLOOKUP(B5,'LiCor Li200R'!$A$2:$F$37,5,FALSE)</f>
        <v>#N/A</v>
      </c>
      <c r="E5" s="19"/>
      <c r="F5" s="19"/>
      <c r="G5" s="19"/>
    </row>
    <row r="6" spans="1:7" x14ac:dyDescent="0.2">
      <c r="A6" s="19"/>
      <c r="B6" s="19"/>
      <c r="C6" s="19" t="e">
        <f>VLOOKUP(B6,'LiCor Li200R'!$A$2:$C$37,2,FALSE)</f>
        <v>#N/A</v>
      </c>
      <c r="D6" s="19" t="e">
        <f>VLOOKUP(B6,'LiCor Li200R'!$A$2:$F$37,5,FALSE)</f>
        <v>#N/A</v>
      </c>
      <c r="E6" s="19"/>
      <c r="F6" s="19"/>
      <c r="G6" s="19"/>
    </row>
    <row r="7" spans="1:7" x14ac:dyDescent="0.2">
      <c r="A7" s="19"/>
      <c r="B7" s="19"/>
      <c r="C7" s="19" t="e">
        <f>VLOOKUP(B7,'LiCor Li200R'!$A$2:$C$37,2,FALSE)</f>
        <v>#N/A</v>
      </c>
      <c r="D7" s="19" t="e">
        <f>VLOOKUP(B7,'LiCor Li200R'!$A$2:$F$37,5,FALSE)</f>
        <v>#N/A</v>
      </c>
      <c r="E7" s="19"/>
      <c r="F7" s="19"/>
      <c r="G7" s="19"/>
    </row>
    <row r="8" spans="1:7" x14ac:dyDescent="0.2">
      <c r="A8" s="19"/>
      <c r="B8" s="19"/>
      <c r="C8" s="19" t="e">
        <f>VLOOKUP(B8,'LiCor Li200R'!$A$2:$C$37,2,FALSE)</f>
        <v>#N/A</v>
      </c>
      <c r="D8" s="19" t="e">
        <f>VLOOKUP(B8,'LiCor Li200R'!$A$2:$F$37,5,FALSE)</f>
        <v>#N/A</v>
      </c>
      <c r="E8" s="19"/>
      <c r="F8" s="19"/>
      <c r="G8" s="19"/>
    </row>
    <row r="9" spans="1:7" x14ac:dyDescent="0.2">
      <c r="A9" s="19"/>
      <c r="B9" s="19"/>
      <c r="C9" s="19" t="e">
        <f>VLOOKUP(B9,'LiCor Li200R'!$A$2:$C$37,2,FALSE)</f>
        <v>#N/A</v>
      </c>
      <c r="D9" s="19" t="e">
        <f>VLOOKUP(B9,'LiCor Li200R'!$A$2:$F$37,5,FALSE)</f>
        <v>#N/A</v>
      </c>
      <c r="E9" s="19"/>
      <c r="F9" s="19"/>
      <c r="G9" s="19"/>
    </row>
    <row r="10" spans="1:7" x14ac:dyDescent="0.2">
      <c r="A10" s="19"/>
      <c r="B10" s="19"/>
      <c r="C10" s="19" t="e">
        <f>VLOOKUP(B10,'LiCor Li200R'!$A$2:$C$37,2,FALSE)</f>
        <v>#N/A</v>
      </c>
      <c r="D10" s="19" t="e">
        <f>VLOOKUP(B10,'LiCor Li200R'!$A$2:$F$37,5,FALSE)</f>
        <v>#N/A</v>
      </c>
      <c r="E10" s="19"/>
      <c r="F10" s="19"/>
      <c r="G10" s="19"/>
    </row>
    <row r="11" spans="1:7" x14ac:dyDescent="0.2">
      <c r="A11" s="19"/>
      <c r="B11" s="19"/>
      <c r="C11" s="19" t="e">
        <f>VLOOKUP(B11,'LiCor Li200R'!$A$2:$C$37,2,FALSE)</f>
        <v>#N/A</v>
      </c>
      <c r="D11" s="19" t="e">
        <f>VLOOKUP(B11,'LiCor Li200R'!$A$2:$F$37,5,FALSE)</f>
        <v>#N/A</v>
      </c>
      <c r="E11" s="19"/>
      <c r="F11" s="19"/>
      <c r="G11" s="19"/>
    </row>
    <row r="12" spans="1:7" x14ac:dyDescent="0.2">
      <c r="A12" s="19"/>
      <c r="B12" s="19"/>
      <c r="C12" s="19" t="e">
        <f>VLOOKUP(B12,'LiCor Li200R'!$A$2:$C$37,2,FALSE)</f>
        <v>#N/A</v>
      </c>
      <c r="D12" s="19" t="e">
        <f>VLOOKUP(B12,'LiCor Li200R'!$A$2:$F$37,5,FALSE)</f>
        <v>#N/A</v>
      </c>
      <c r="E12" s="19"/>
      <c r="F12" s="19"/>
      <c r="G12" s="19"/>
    </row>
    <row r="13" spans="1:7" x14ac:dyDescent="0.2">
      <c r="A13" s="19"/>
      <c r="B13" s="19"/>
      <c r="C13" s="19" t="e">
        <f>VLOOKUP(B13,'LiCor Li200R'!$A$2:$C$37,2,FALSE)</f>
        <v>#N/A</v>
      </c>
      <c r="D13" s="19" t="e">
        <f>VLOOKUP(B13,'LiCor Li200R'!$A$2:$F$37,5,FALSE)</f>
        <v>#N/A</v>
      </c>
      <c r="E13" s="19"/>
      <c r="F13" s="19"/>
      <c r="G13" s="19"/>
    </row>
    <row r="14" spans="1:7" x14ac:dyDescent="0.2">
      <c r="A14" s="19"/>
      <c r="B14" s="19"/>
      <c r="C14" s="19" t="e">
        <f>VLOOKUP(B14,'LiCor Li200R'!$A$2:$C$37,2,FALSE)</f>
        <v>#N/A</v>
      </c>
      <c r="D14" s="19" t="e">
        <f>VLOOKUP(B14,'LiCor Li200R'!$A$2:$F$37,5,FALSE)</f>
        <v>#N/A</v>
      </c>
      <c r="E14" s="19"/>
      <c r="F14" s="19"/>
      <c r="G14" s="19"/>
    </row>
    <row r="15" spans="1:7" x14ac:dyDescent="0.2">
      <c r="A15" s="19"/>
      <c r="B15" s="19"/>
      <c r="C15" s="19" t="e">
        <f>VLOOKUP(B15,'LiCor Li200R'!$A$2:$C$37,2,FALSE)</f>
        <v>#N/A</v>
      </c>
      <c r="D15" s="19" t="e">
        <f>VLOOKUP(B15,'LiCor Li200R'!$A$2:$F$37,5,FALSE)</f>
        <v>#N/A</v>
      </c>
      <c r="E15" s="19"/>
      <c r="F15" s="19"/>
      <c r="G15" s="19"/>
    </row>
    <row r="16" spans="1:7" x14ac:dyDescent="0.2">
      <c r="A16" s="19"/>
      <c r="B16" s="19"/>
      <c r="C16" s="19" t="e">
        <f>VLOOKUP(B16,'LiCor Li200R'!$A$2:$C$37,2,FALSE)</f>
        <v>#N/A</v>
      </c>
      <c r="D16" s="19" t="e">
        <f>VLOOKUP(B16,'LiCor Li200R'!$A$2:$F$37,5,FALSE)</f>
        <v>#N/A</v>
      </c>
      <c r="E16" s="19"/>
      <c r="F16" s="19"/>
      <c r="G16" s="19"/>
    </row>
    <row r="17" spans="1:7" x14ac:dyDescent="0.2">
      <c r="A17" s="19"/>
      <c r="B17" s="19"/>
      <c r="C17" s="19" t="e">
        <f>VLOOKUP(B17,'LiCor Li200R'!$A$2:$C$37,2,FALSE)</f>
        <v>#N/A</v>
      </c>
      <c r="D17" s="19" t="e">
        <f>VLOOKUP(B17,'LiCor Li200R'!$A$2:$F$37,5,FALSE)</f>
        <v>#N/A</v>
      </c>
      <c r="E17" s="19"/>
      <c r="F17" s="19"/>
      <c r="G17" s="19"/>
    </row>
    <row r="18" spans="1:7" x14ac:dyDescent="0.2">
      <c r="A18" s="19"/>
      <c r="B18" s="19"/>
      <c r="C18" s="19" t="e">
        <f>VLOOKUP(B18,'LiCor Li200R'!$A$2:$C$37,2,FALSE)</f>
        <v>#N/A</v>
      </c>
      <c r="D18" s="19" t="e">
        <f>VLOOKUP(B18,'LiCor Li200R'!$A$2:$F$37,5,FALSE)</f>
        <v>#N/A</v>
      </c>
      <c r="E18" s="19"/>
      <c r="F18" s="19"/>
      <c r="G18" s="19"/>
    </row>
    <row r="19" spans="1:7" x14ac:dyDescent="0.2">
      <c r="A19" s="19"/>
      <c r="B19" s="19"/>
      <c r="C19" s="19" t="e">
        <f>VLOOKUP(B19,'LiCor Li200R'!$A$2:$C$37,2,FALSE)</f>
        <v>#N/A</v>
      </c>
      <c r="D19" s="19" t="e">
        <f>VLOOKUP(B19,'LiCor Li200R'!$A$2:$F$37,5,FALSE)</f>
        <v>#N/A</v>
      </c>
      <c r="E19" s="19"/>
      <c r="F19" s="19"/>
      <c r="G19" s="19"/>
    </row>
    <row r="20" spans="1:7" x14ac:dyDescent="0.2">
      <c r="A20" s="19"/>
      <c r="B20" s="19"/>
      <c r="C20" s="19" t="e">
        <f>VLOOKUP(B20,'LiCor Li200R'!$A$2:$C$37,2,FALSE)</f>
        <v>#N/A</v>
      </c>
      <c r="D20" s="19" t="e">
        <f>VLOOKUP(B20,'LiCor Li200R'!$A$2:$F$37,5,FALSE)</f>
        <v>#N/A</v>
      </c>
      <c r="E20" s="19"/>
      <c r="F20" s="19"/>
      <c r="G20" s="19"/>
    </row>
    <row r="21" spans="1:7" x14ac:dyDescent="0.2">
      <c r="A21" s="19"/>
      <c r="B21" s="19"/>
      <c r="C21" s="19" t="e">
        <f>VLOOKUP(B21,'LiCor Li200R'!$A$2:$C$37,2,FALSE)</f>
        <v>#N/A</v>
      </c>
      <c r="D21" s="19" t="e">
        <f>VLOOKUP(B21,'LiCor Li200R'!$A$2:$F$37,5,FALSE)</f>
        <v>#N/A</v>
      </c>
      <c r="E21" s="19"/>
      <c r="F21" s="19"/>
      <c r="G21" s="19"/>
    </row>
    <row r="22" spans="1:7" x14ac:dyDescent="0.2">
      <c r="A22" s="19"/>
      <c r="B22" s="19"/>
      <c r="C22" s="19" t="e">
        <f>VLOOKUP(B22,'LiCor Li200R'!$A$2:$C$37,2,FALSE)</f>
        <v>#N/A</v>
      </c>
      <c r="D22" s="19" t="e">
        <f>VLOOKUP(B22,'LiCor Li200R'!$A$2:$F$37,5,FALSE)</f>
        <v>#N/A</v>
      </c>
      <c r="E22" s="19"/>
      <c r="F22" s="19"/>
      <c r="G22" s="19"/>
    </row>
    <row r="23" spans="1:7" x14ac:dyDescent="0.2">
      <c r="A23" s="19"/>
      <c r="B23" s="19"/>
      <c r="C23" s="19" t="e">
        <f>VLOOKUP(B23,'LiCor Li200R'!$A$2:$C$37,2,FALSE)</f>
        <v>#N/A</v>
      </c>
      <c r="D23" s="19" t="e">
        <f>VLOOKUP(B23,'LiCor Li200R'!$A$2:$F$37,5,FALSE)</f>
        <v>#N/A</v>
      </c>
      <c r="E23" s="19"/>
      <c r="F23" s="19"/>
      <c r="G23" s="19"/>
    </row>
    <row r="24" spans="1:7" x14ac:dyDescent="0.2">
      <c r="A24" s="19"/>
      <c r="B24" s="19"/>
      <c r="C24" s="19" t="e">
        <f>VLOOKUP(B24,'LiCor Li200R'!$A$2:$C$37,2,FALSE)</f>
        <v>#N/A</v>
      </c>
      <c r="D24" s="19" t="e">
        <f>VLOOKUP(B24,'LiCor Li200R'!$A$2:$F$37,5,FALSE)</f>
        <v>#N/A</v>
      </c>
      <c r="E24" s="19"/>
      <c r="F24" s="19"/>
      <c r="G24" s="19"/>
    </row>
    <row r="25" spans="1:7" x14ac:dyDescent="0.2">
      <c r="A25" s="19"/>
      <c r="B25" s="19"/>
      <c r="C25" s="19" t="e">
        <f>VLOOKUP(B25,'LiCor Li200R'!$A$2:$C$37,2,FALSE)</f>
        <v>#N/A</v>
      </c>
      <c r="D25" s="19" t="e">
        <f>VLOOKUP(B25,'LiCor Li200R'!$A$2:$F$37,5,FALSE)</f>
        <v>#N/A</v>
      </c>
      <c r="E25" s="19"/>
      <c r="F25" s="19"/>
      <c r="G25" s="19"/>
    </row>
    <row r="26" spans="1:7" x14ac:dyDescent="0.2">
      <c r="A26" s="19"/>
      <c r="B26" s="19"/>
      <c r="C26" s="19" t="e">
        <f>VLOOKUP(B26,'LiCor Li200R'!$A$2:$C$37,2,FALSE)</f>
        <v>#N/A</v>
      </c>
      <c r="D26" s="19" t="e">
        <f>VLOOKUP(B26,'LiCor Li200R'!$A$2:$F$37,5,FALSE)</f>
        <v>#N/A</v>
      </c>
      <c r="E26" s="19"/>
      <c r="F26" s="19"/>
      <c r="G26" s="19"/>
    </row>
    <row r="27" spans="1:7" x14ac:dyDescent="0.2">
      <c r="A27" s="19"/>
      <c r="B27" s="19"/>
      <c r="C27" s="19" t="e">
        <f>VLOOKUP(B27,'LiCor Li200R'!$A$2:$C$37,2,FALSE)</f>
        <v>#N/A</v>
      </c>
      <c r="D27" s="19" t="e">
        <f>VLOOKUP(B27,'LiCor Li200R'!$A$2:$F$37,5,FALSE)</f>
        <v>#N/A</v>
      </c>
      <c r="E27" s="19"/>
      <c r="F27" s="37"/>
      <c r="G27" s="19"/>
    </row>
    <row r="28" spans="1:7" x14ac:dyDescent="0.2">
      <c r="A28" s="19"/>
      <c r="B28" s="19"/>
      <c r="C28" s="19" t="e">
        <f>VLOOKUP(B28,'LiCor Li200R'!$A$2:$C$37,2,FALSE)</f>
        <v>#N/A</v>
      </c>
      <c r="D28" s="19" t="e">
        <f>VLOOKUP(B28,'LiCor Li200R'!$A$2:$F$37,5,FALSE)</f>
        <v>#N/A</v>
      </c>
      <c r="E28" s="19"/>
      <c r="F28" s="19"/>
      <c r="G28" s="19"/>
    </row>
    <row r="29" spans="1:7" x14ac:dyDescent="0.2">
      <c r="A29" s="19"/>
      <c r="B29" s="19"/>
      <c r="C29" s="19" t="e">
        <f>VLOOKUP(B29,'LiCor Li200R'!$A$2:$C$37,2,FALSE)</f>
        <v>#N/A</v>
      </c>
      <c r="D29" s="19" t="e">
        <f>VLOOKUP(B29,'LiCor Li200R'!$A$2:$F$37,5,FALSE)</f>
        <v>#N/A</v>
      </c>
      <c r="E29" s="19"/>
      <c r="F29" s="19"/>
      <c r="G29" s="19"/>
    </row>
    <row r="30" spans="1:7" x14ac:dyDescent="0.2">
      <c r="A30" s="19"/>
      <c r="B30" s="19"/>
      <c r="C30" s="19" t="e">
        <f>VLOOKUP(B30,'LiCor Li200R'!$A$2:$C$37,2,FALSE)</f>
        <v>#N/A</v>
      </c>
      <c r="D30" s="19" t="e">
        <f>VLOOKUP(B30,'LiCor Li200R'!$A$2:$F$37,5,FALSE)</f>
        <v>#N/A</v>
      </c>
      <c r="E30" s="19"/>
      <c r="F30" s="19"/>
      <c r="G30" s="19"/>
    </row>
    <row r="31" spans="1:7" x14ac:dyDescent="0.2">
      <c r="A31" s="19"/>
      <c r="B31" s="19"/>
      <c r="C31" s="19" t="e">
        <f>VLOOKUP(B31,'LiCor Li200R'!$A$2:$C$37,2,FALSE)</f>
        <v>#N/A</v>
      </c>
      <c r="D31" s="19" t="e">
        <f>VLOOKUP(B31,'LiCor Li200R'!$A$2:$F$37,5,FALSE)</f>
        <v>#N/A</v>
      </c>
      <c r="E31" s="19"/>
      <c r="F31" s="19"/>
      <c r="G31" s="19"/>
    </row>
    <row r="32" spans="1:7" x14ac:dyDescent="0.2">
      <c r="A32" s="19"/>
      <c r="B32" s="19"/>
      <c r="C32" s="19" t="e">
        <f>VLOOKUP(B32,'LiCor Li200R'!$A$2:$C$37,2,FALSE)</f>
        <v>#N/A</v>
      </c>
      <c r="D32" s="19" t="e">
        <f>VLOOKUP(B32,'LiCor Li200R'!$A$2:$F$37,5,FALSE)</f>
        <v>#N/A</v>
      </c>
      <c r="E32" s="19"/>
      <c r="F32" s="19"/>
      <c r="G32" s="19"/>
    </row>
    <row r="33" spans="1:7" x14ac:dyDescent="0.2">
      <c r="A33" s="19"/>
      <c r="B33" s="19"/>
      <c r="C33" s="19" t="e">
        <f>VLOOKUP(B33,'LiCor Li200R'!$A$2:$C$37,2,FALSE)</f>
        <v>#N/A</v>
      </c>
      <c r="D33" s="19" t="e">
        <f>VLOOKUP(B33,'LiCor Li200R'!$A$2:$F$37,5,FALSE)</f>
        <v>#N/A</v>
      </c>
      <c r="E33" s="19"/>
      <c r="F33" s="19"/>
      <c r="G33" s="19"/>
    </row>
    <row r="34" spans="1:7" x14ac:dyDescent="0.2">
      <c r="A34" s="19"/>
      <c r="B34" s="19"/>
      <c r="C34" s="19" t="e">
        <f>VLOOKUP(B34,'LiCor Li200R'!$A$2:$C$37,2,FALSE)</f>
        <v>#N/A</v>
      </c>
      <c r="D34" s="19" t="e">
        <f>VLOOKUP(B34,'LiCor Li200R'!$A$2:$F$37,5,FALSE)</f>
        <v>#N/A</v>
      </c>
      <c r="E34" s="19"/>
      <c r="F34" s="19"/>
      <c r="G34" s="19"/>
    </row>
    <row r="35" spans="1:7" x14ac:dyDescent="0.2">
      <c r="A35" s="19"/>
      <c r="B35" s="19"/>
      <c r="C35" s="19" t="e">
        <f>VLOOKUP(B35,'LiCor Li200R'!$A$2:$C$37,2,FALSE)</f>
        <v>#N/A</v>
      </c>
      <c r="D35" s="19" t="e">
        <f>VLOOKUP(B35,'LiCor Li200R'!$A$2:$F$37,5,FALSE)</f>
        <v>#N/A</v>
      </c>
      <c r="E35" s="19"/>
      <c r="F35" s="19"/>
      <c r="G35" s="19"/>
    </row>
    <row r="36" spans="1:7" x14ac:dyDescent="0.2">
      <c r="A36" s="19"/>
      <c r="B36" s="19"/>
      <c r="C36" s="19" t="e">
        <f>VLOOKUP(B36,'LiCor Li200R'!$A$2:$C$37,2,FALSE)</f>
        <v>#N/A</v>
      </c>
      <c r="D36" s="19" t="e">
        <f>VLOOKUP(B36,'LiCor Li200R'!$A$2:$F$37,5,FALSE)</f>
        <v>#N/A</v>
      </c>
      <c r="E36" s="19"/>
      <c r="F36" s="19"/>
      <c r="G36" s="19"/>
    </row>
    <row r="37" spans="1:7" x14ac:dyDescent="0.2">
      <c r="A37" s="19"/>
      <c r="B37" s="19"/>
      <c r="C37" s="19" t="e">
        <f>VLOOKUP(B37,'LiCor Li200R'!$A$2:$C$37,2,FALSE)</f>
        <v>#N/A</v>
      </c>
      <c r="D37" s="19" t="e">
        <f>VLOOKUP(B37,'LiCor Li200R'!$A$2:$F$37,5,FALSE)</f>
        <v>#N/A</v>
      </c>
      <c r="E37" s="19"/>
      <c r="F37" s="19"/>
      <c r="G37" s="19"/>
    </row>
  </sheetData>
  <autoFilter ref="A1:F37" xr:uid="{00000000-0009-0000-0000-000001000000}">
    <sortState xmlns:xlrd2="http://schemas.microsoft.com/office/spreadsheetml/2017/richdata2" ref="A2:F37">
      <sortCondition ref="A1:A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selection activeCell="G18" sqref="G18"/>
    </sheetView>
  </sheetViews>
  <sheetFormatPr baseColWidth="10" defaultColWidth="11" defaultRowHeight="16" x14ac:dyDescent="0.2"/>
  <cols>
    <col min="2" max="2" width="29.83203125" customWidth="1"/>
  </cols>
  <sheetData>
    <row r="1" spans="1:9" ht="51" customHeight="1" x14ac:dyDescent="0.2">
      <c r="A1" s="5" t="s">
        <v>5</v>
      </c>
      <c r="B1" s="6" t="s">
        <v>46</v>
      </c>
      <c r="C1" s="7" t="s">
        <v>47</v>
      </c>
      <c r="D1" s="7" t="s">
        <v>48</v>
      </c>
      <c r="E1" s="7" t="s">
        <v>49</v>
      </c>
      <c r="F1" s="10" t="s">
        <v>50</v>
      </c>
      <c r="G1" s="11" t="s">
        <v>47</v>
      </c>
      <c r="H1" s="11" t="s">
        <v>49</v>
      </c>
      <c r="I1" s="7" t="s">
        <v>51</v>
      </c>
    </row>
    <row r="2" spans="1:9" x14ac:dyDescent="0.2">
      <c r="A2">
        <v>37000</v>
      </c>
      <c r="B2" s="17" t="s">
        <v>52</v>
      </c>
      <c r="C2" s="2">
        <v>0.63</v>
      </c>
      <c r="D2">
        <v>2</v>
      </c>
      <c r="E2" s="2">
        <f>C2*D2</f>
        <v>1.26</v>
      </c>
      <c r="F2" s="12">
        <v>3</v>
      </c>
      <c r="G2" s="13"/>
      <c r="H2" s="14">
        <f>F2*G2</f>
        <v>0</v>
      </c>
      <c r="I2" s="3" t="s">
        <v>53</v>
      </c>
    </row>
    <row r="3" spans="1:9" x14ac:dyDescent="0.2">
      <c r="A3">
        <v>38300</v>
      </c>
      <c r="B3" s="17" t="s">
        <v>54</v>
      </c>
      <c r="C3" s="4">
        <v>1.01</v>
      </c>
      <c r="D3">
        <v>6</v>
      </c>
      <c r="E3" s="2">
        <f>C3*D3</f>
        <v>6.0600000000000005</v>
      </c>
      <c r="F3" s="12">
        <v>10</v>
      </c>
      <c r="G3" s="13"/>
      <c r="H3" s="14">
        <f>F3*G3</f>
        <v>0</v>
      </c>
      <c r="I3" s="3" t="s">
        <v>55</v>
      </c>
    </row>
    <row r="4" spans="1:9" x14ac:dyDescent="0.2">
      <c r="A4">
        <v>39200</v>
      </c>
      <c r="B4" t="s">
        <v>56</v>
      </c>
      <c r="C4" s="2">
        <v>1.01</v>
      </c>
      <c r="D4">
        <v>10</v>
      </c>
      <c r="E4" s="2">
        <f>C4*D4</f>
        <v>10.1</v>
      </c>
      <c r="F4" s="12">
        <v>11</v>
      </c>
      <c r="G4" s="13"/>
      <c r="H4" s="14">
        <f>F4*G4</f>
        <v>0</v>
      </c>
      <c r="I4" s="3" t="s">
        <v>57</v>
      </c>
    </row>
    <row r="5" spans="1:9" x14ac:dyDescent="0.2">
      <c r="A5">
        <v>40200</v>
      </c>
      <c r="B5" t="s">
        <v>58</v>
      </c>
      <c r="C5" s="2">
        <v>1.01</v>
      </c>
      <c r="D5">
        <v>11</v>
      </c>
      <c r="E5" s="2">
        <f>C5*D5</f>
        <v>11.11</v>
      </c>
      <c r="F5" s="12">
        <v>12</v>
      </c>
      <c r="G5" s="13"/>
      <c r="H5" s="14">
        <f>F5*G5</f>
        <v>0</v>
      </c>
      <c r="I5" s="3" t="s">
        <v>59</v>
      </c>
    </row>
    <row r="6" spans="1:9" x14ac:dyDescent="0.2">
      <c r="A6">
        <v>41200</v>
      </c>
      <c r="B6" t="s">
        <v>60</v>
      </c>
      <c r="C6" s="2">
        <v>0.82</v>
      </c>
      <c r="D6">
        <v>7</v>
      </c>
      <c r="E6" s="2">
        <f>C6*D6</f>
        <v>5.7399999999999993</v>
      </c>
      <c r="F6" s="12">
        <v>10</v>
      </c>
      <c r="G6" s="13"/>
      <c r="H6" s="14">
        <f>F6*G6</f>
        <v>0</v>
      </c>
      <c r="I6" s="3" t="s">
        <v>61</v>
      </c>
    </row>
    <row r="7" spans="1:9" x14ac:dyDescent="0.2">
      <c r="C7" s="2"/>
      <c r="E7" s="2"/>
      <c r="F7" s="14"/>
      <c r="G7" s="14"/>
      <c r="H7" s="14"/>
      <c r="I7" s="3"/>
    </row>
    <row r="8" spans="1:9" x14ac:dyDescent="0.2">
      <c r="C8" s="2"/>
      <c r="E8" s="2"/>
      <c r="F8" s="14"/>
      <c r="G8" s="14"/>
      <c r="H8" s="14"/>
      <c r="I8" s="3"/>
    </row>
    <row r="9" spans="1:9" x14ac:dyDescent="0.2">
      <c r="A9" s="8" t="s">
        <v>62</v>
      </c>
      <c r="B9" s="8"/>
      <c r="C9" s="9"/>
      <c r="D9" s="8">
        <f>SUM(D2:D6)</f>
        <v>36</v>
      </c>
      <c r="E9" s="9">
        <f>SUM(E2:E7)</f>
        <v>34.270000000000003</v>
      </c>
      <c r="F9" s="16">
        <f>SUM(F2:F7)</f>
        <v>46</v>
      </c>
      <c r="G9" s="15"/>
      <c r="H9" s="15">
        <f>SUM(H2:H6)</f>
        <v>0</v>
      </c>
      <c r="I9" s="3"/>
    </row>
    <row r="10" spans="1:9" x14ac:dyDescent="0.2">
      <c r="I10" s="3"/>
    </row>
    <row r="17" spans="6:7" x14ac:dyDescent="0.2">
      <c r="F17">
        <v>37000</v>
      </c>
      <c r="G17" t="s">
        <v>63</v>
      </c>
    </row>
    <row r="18" spans="6:7" x14ac:dyDescent="0.2">
      <c r="F18">
        <v>38300</v>
      </c>
      <c r="G18" t="s">
        <v>63</v>
      </c>
    </row>
    <row r="19" spans="6:7" x14ac:dyDescent="0.2">
      <c r="F19">
        <v>39200</v>
      </c>
      <c r="G19" t="s">
        <v>63</v>
      </c>
    </row>
    <row r="20" spans="6:7" x14ac:dyDescent="0.2">
      <c r="F20">
        <v>40200</v>
      </c>
    </row>
    <row r="21" spans="6:7" x14ac:dyDescent="0.2">
      <c r="F21">
        <v>41200</v>
      </c>
      <c r="G21" t="s">
        <v>63</v>
      </c>
    </row>
  </sheetData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LiCor Li200R</vt:lpstr>
      <vt:lpstr>FRAMEworks LEMS</vt:lpstr>
      <vt:lpstr>Digikey - Resistors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Thomas Wright</cp:lastModifiedBy>
  <dcterms:created xsi:type="dcterms:W3CDTF">2016-10-20T07:44:44Z</dcterms:created>
  <dcterms:modified xsi:type="dcterms:W3CDTF">2026-07-20T17:32:35Z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0x0101007426DA62155176439E1B891C823797F8</vt:lpwstr>
  </property>
  <property fmtid="{D5CDD505-2E9C-101B-9397-08002B2CF9AE}" pid="3" name="MediaServiceImageTags">
    <vt:lpwstr/>
  </property>
</Properties>
</file>